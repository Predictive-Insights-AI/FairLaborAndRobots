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82554\Desktop\paperwork\Interviews\"/>
    </mc:Choice>
  </mc:AlternateContent>
  <xr:revisionPtr revIDLastSave="0" documentId="10_ncr:100000_{24385705-2E69-4F23-BA29-B9464A95303A}" xr6:coauthVersionLast="31" xr6:coauthVersionMax="31" xr10:uidLastSave="{00000000-0000-0000-0000-000000000000}"/>
  <bookViews>
    <workbookView xWindow="0" yWindow="0" windowWidth="23040" windowHeight="10356" xr2:uid="{03B0F0D1-AFA5-4552-A816-1C2A9DBC49B5}"/>
  </bookViews>
  <sheets>
    <sheet name="Sheet1" sheetId="1" r:id="rId1"/>
  </sheets>
  <definedNames>
    <definedName name="_xlnm._FilterDatabase" localSheetId="0" hidden="1">Sheet1!$A$1:$E$8</definedName>
  </definedNames>
  <calcPr calcId="17901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1" i="1" l="1"/>
  <c r="E9" i="1"/>
  <c r="D3" i="1"/>
  <c r="D4" i="1"/>
  <c r="D5" i="1"/>
  <c r="D6" i="1"/>
  <c r="D7" i="1"/>
  <c r="D8" i="1"/>
  <c r="D2" i="1"/>
  <c r="G2" i="1"/>
</calcChain>
</file>

<file path=xl/sharedStrings.xml><?xml version="1.0" encoding="utf-8"?>
<sst xmlns="http://schemas.openxmlformats.org/spreadsheetml/2006/main" count="26" uniqueCount="18">
  <si>
    <t>Source</t>
  </si>
  <si>
    <t>Year's Exp</t>
  </si>
  <si>
    <t>Title</t>
  </si>
  <si>
    <t>Glassdoor</t>
  </si>
  <si>
    <t>Data Scientist</t>
  </si>
  <si>
    <t>Senior Data Analyst</t>
  </si>
  <si>
    <t>DW Simpson</t>
  </si>
  <si>
    <t>1-3</t>
  </si>
  <si>
    <t>Actuarial Analyst</t>
  </si>
  <si>
    <t>PayScale</t>
  </si>
  <si>
    <t>Modeling Analyst</t>
  </si>
  <si>
    <t>LinkedIn</t>
  </si>
  <si>
    <t xml:space="preserve">Press Ganey </t>
  </si>
  <si>
    <t>Boston Salary</t>
  </si>
  <si>
    <t>Chicago Salary</t>
  </si>
  <si>
    <t>Chicago to Boston Adjustment Factor</t>
  </si>
  <si>
    <t>Data Analyst</t>
  </si>
  <si>
    <t>Selected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</si>
</sst>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4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quotePrefix="1"/>
    <xf numFmtId="0" fontId="1" fillId="0" borderId="0" xfId="0" quotePrefix="1" applyFont="1"/>
    <xf numFmtId="0" fontId="2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167CE-7E4E-4370-88DC-1243F7362F1E}">
  <dimension ref="A1:G11"/>
  <sheetViews>
    <sheetView tabSelected="1" workbookViewId="0">
      <selection activeCell="E12" sqref="E12"/>
    </sheetView>
  </sheetViews>
  <sheetFormatPr defaultRowHeight="13.2" x14ac:dyDescent="0.25"/>
  <cols>
    <col min="1" max="1" width="13.88671875" customWidth="1"/>
    <col min="2" max="2" width="10.44140625" customWidth="1"/>
    <col min="3" max="3" width="27.5546875" customWidth="1"/>
    <col min="4" max="4" width="22.21875" customWidth="1"/>
    <col min="5" max="5" width="17.10937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13</v>
      </c>
      <c r="E1" s="1" t="s">
        <v>14</v>
      </c>
      <c r="G1" s="3" t="s">
        <v>15</v>
      </c>
    </row>
    <row r="2" spans="1:7" x14ac:dyDescent="0.25">
      <c r="A2" t="s">
        <v>11</v>
      </c>
      <c r="B2">
        <v>1</v>
      </c>
      <c r="C2" t="s">
        <v>4</v>
      </c>
      <c r="D2">
        <f>E2*$G$2</f>
        <v>118.75</v>
      </c>
      <c r="E2">
        <v>95</v>
      </c>
      <c r="G2">
        <f>1.25</f>
        <v>1.25</v>
      </c>
    </row>
    <row r="3" spans="1:7" x14ac:dyDescent="0.25">
      <c r="A3" t="s">
        <v>3</v>
      </c>
      <c r="B3" s="2" t="s">
        <v>7</v>
      </c>
      <c r="C3" t="s">
        <v>4</v>
      </c>
      <c r="D3">
        <f t="shared" ref="D3:D9" si="0">E3*$G$2</f>
        <v>112.5</v>
      </c>
      <c r="E3">
        <v>90</v>
      </c>
    </row>
    <row r="4" spans="1:7" x14ac:dyDescent="0.25">
      <c r="A4" t="s">
        <v>9</v>
      </c>
      <c r="B4">
        <v>1</v>
      </c>
      <c r="C4" t="s">
        <v>4</v>
      </c>
      <c r="D4">
        <f t="shared" si="0"/>
        <v>112.5</v>
      </c>
      <c r="E4">
        <v>90</v>
      </c>
    </row>
    <row r="5" spans="1:7" x14ac:dyDescent="0.25">
      <c r="A5" t="s">
        <v>9</v>
      </c>
      <c r="B5" s="2">
        <v>2</v>
      </c>
      <c r="C5" t="s">
        <v>10</v>
      </c>
      <c r="D5">
        <f t="shared" si="0"/>
        <v>96.25</v>
      </c>
      <c r="E5">
        <v>77</v>
      </c>
    </row>
    <row r="6" spans="1:7" x14ac:dyDescent="0.25">
      <c r="A6" t="s">
        <v>11</v>
      </c>
      <c r="B6">
        <v>2</v>
      </c>
      <c r="C6" t="s">
        <v>5</v>
      </c>
      <c r="D6">
        <f t="shared" si="0"/>
        <v>97.5</v>
      </c>
      <c r="E6">
        <v>78</v>
      </c>
    </row>
    <row r="7" spans="1:7" x14ac:dyDescent="0.25">
      <c r="A7" t="s">
        <v>6</v>
      </c>
      <c r="B7" s="2" t="s">
        <v>7</v>
      </c>
      <c r="C7" t="s">
        <v>8</v>
      </c>
      <c r="D7">
        <f t="shared" si="0"/>
        <v>87.5</v>
      </c>
      <c r="E7">
        <v>70</v>
      </c>
    </row>
    <row r="8" spans="1:7" x14ac:dyDescent="0.25">
      <c r="A8" t="s">
        <v>3</v>
      </c>
      <c r="B8" s="2" t="s">
        <v>7</v>
      </c>
      <c r="C8" t="s">
        <v>16</v>
      </c>
      <c r="D8">
        <f t="shared" si="0"/>
        <v>87.5</v>
      </c>
      <c r="E8">
        <v>70</v>
      </c>
    </row>
    <row r="9" spans="1:7" x14ac:dyDescent="0.25">
      <c r="A9" t="s">
        <v>12</v>
      </c>
      <c r="C9" t="s">
        <v>4</v>
      </c>
      <c r="D9">
        <v>95</v>
      </c>
      <c r="E9">
        <f>D9/1.25</f>
        <v>76</v>
      </c>
    </row>
    <row r="11" spans="1:7" x14ac:dyDescent="0.25">
      <c r="C11" s="5" t="s">
        <v>17</v>
      </c>
      <c r="D11" s="4">
        <f>E11*1.25</f>
        <v>100</v>
      </c>
      <c r="E11" s="4">
        <v>80</v>
      </c>
    </row>
  </sheetData>
  <autoFilter ref="A1:E8" xr:uid="{8FF79F83-AE1F-4646-9BF5-0A5CD989A2D7}">
    <sortState ref="A2:E8">
      <sortCondition descending="1" ref="D1:D8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SAM82554</dc:creator>
  <cp:lastModifiedBy>SAM82554</cp:lastModifiedBy>
  <dcterms:created xsi:type="dcterms:W3CDTF">2018-12-15T17:58:09Z</dcterms:created>
  <dcterms:modified xsi:type="dcterms:W3CDTF">2018-12-16T20:42:39Z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c700311-1b20-487f-9129-30717d50ca8e_Enabled">
    <vt:lpwstr>True</vt:lpwstr>
  </property>
  <property fmtid="{D5CDD505-2E9C-101B-9397-08002B2CF9AE}" pid="3" name="MSIP_Label_9c700311-1b20-487f-9129-30717d50ca8e_SiteId">
    <vt:lpwstr>76e3921f-489b-4b7e-9547-9ea297add9b5</vt:lpwstr>
  </property>
  <property fmtid="{D5CDD505-2E9C-101B-9397-08002B2CF9AE}" pid="4" name="MSIP_Label_9c700311-1b20-487f-9129-30717d50ca8e_Owner">
    <vt:lpwstr>sam.castillo@towerswatson.com</vt:lpwstr>
  </property>
  <property fmtid="{D5CDD505-2E9C-101B-9397-08002B2CF9AE}" pid="5" name="MSIP_Label_9c700311-1b20-487f-9129-30717d50ca8e_SetDate">
    <vt:lpwstr>2018-12-15T18:04:08.2495860Z</vt:lpwstr>
  </property>
  <property fmtid="{D5CDD505-2E9C-101B-9397-08002B2CF9AE}" pid="6" name="MSIP_Label_9c700311-1b20-487f-9129-30717d50ca8e_Name">
    <vt:lpwstr>Confidential</vt:lpwstr>
  </property>
  <property fmtid="{D5CDD505-2E9C-101B-9397-08002B2CF9AE}" pid="7" name="MSIP_Label_9c700311-1b20-487f-9129-30717d50ca8e_Application">
    <vt:lpwstr>Microsoft Azure Information Protection</vt:lpwstr>
  </property>
  <property fmtid="{D5CDD505-2E9C-101B-9397-08002B2CF9AE}" pid="8" name="MSIP_Label_9c700311-1b20-487f-9129-30717d50ca8e_Extended_MSFT_Method">
    <vt:lpwstr>Automatic</vt:lpwstr>
  </property>
  <property fmtid="{D5CDD505-2E9C-101B-9397-08002B2CF9AE}" pid="9" name="MSIP_Label_d347b247-e90e-43a3-9d7b-004f14ae6873_Enabled">
    <vt:lpwstr>True</vt:lpwstr>
  </property>
  <property fmtid="{D5CDD505-2E9C-101B-9397-08002B2CF9AE}" pid="10" name="MSIP_Label_d347b247-e90e-43a3-9d7b-004f14ae6873_SiteId">
    <vt:lpwstr>76e3921f-489b-4b7e-9547-9ea297add9b5</vt:lpwstr>
  </property>
  <property fmtid="{D5CDD505-2E9C-101B-9397-08002B2CF9AE}" pid="11" name="MSIP_Label_d347b247-e90e-43a3-9d7b-004f14ae6873_Owner">
    <vt:lpwstr>sam.castillo@towerswatson.com</vt:lpwstr>
  </property>
  <property fmtid="{D5CDD505-2E9C-101B-9397-08002B2CF9AE}" pid="12" name="MSIP_Label_d347b247-e90e-43a3-9d7b-004f14ae6873_SetDate">
    <vt:lpwstr>2018-12-15T18:04:08.2495860Z</vt:lpwstr>
  </property>
  <property fmtid="{D5CDD505-2E9C-101B-9397-08002B2CF9AE}" pid="13" name="MSIP_Label_d347b247-e90e-43a3-9d7b-004f14ae6873_Name">
    <vt:lpwstr>Anyone (No Protection)</vt:lpwstr>
  </property>
  <property fmtid="{D5CDD505-2E9C-101B-9397-08002B2CF9AE}" pid="14" name="MSIP_Label_d347b247-e90e-43a3-9d7b-004f14ae6873_Application">
    <vt:lpwstr>Microsoft Azure Information Protection</vt:lpwstr>
  </property>
  <property fmtid="{D5CDD505-2E9C-101B-9397-08002B2CF9AE}" pid="15" name="MSIP_Label_d347b247-e90e-43a3-9d7b-004f14ae6873_Parent">
    <vt:lpwstr>9c700311-1b20-487f-9129-30717d50ca8e</vt:lpwstr>
  </property>
  <property fmtid="{D5CDD505-2E9C-101B-9397-08002B2CF9AE}" pid="16" name="MSIP_Label_d347b247-e90e-43a3-9d7b-004f14ae6873_Extended_MSFT_Method">
    <vt:lpwstr>Automatic</vt:lpwstr>
  </property>
  <property fmtid="{D5CDD505-2E9C-101B-9397-08002B2CF9AE}" pid="17" name="Sensitivity">
    <vt:lpwstr>Confidential Anyone (No Protection)</vt:lpwstr>
  </property>
</Properties>
</file>